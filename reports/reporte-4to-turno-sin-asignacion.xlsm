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tmala\OneDrive\Escritorio\ProTurnos\reports\"/>
    </mc:Choice>
  </mc:AlternateContent>
  <xr:revisionPtr revIDLastSave="0" documentId="13_ncr:1_{E2F9994C-B3A9-4476-B4CE-D59F01983A3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4to turno sin asignacion" sheetId="1" r:id="rId1"/>
  </sheets>
  <definedNames>
    <definedName name="_xlnm.Print_Area" localSheetId="0">'4to turno sin asignacion'!$A$1:$I$83</definedName>
    <definedName name="_xlnm.Print_Titles" localSheetId="0">'4to turno sin asignacion'!$1:$8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ecxK/qZTxceElZOaXqap65xqOtpSVnpQhy2+IBN7cCk="/>
    </ext>
  </extLst>
</workbook>
</file>

<file path=xl/calcChain.xml><?xml version="1.0" encoding="utf-8"?>
<calcChain xmlns="http://schemas.openxmlformats.org/spreadsheetml/2006/main">
  <c r="F81" i="1" l="1"/>
  <c r="F83" i="1" s="1"/>
  <c r="E81" i="1"/>
  <c r="E83" i="1" s="1"/>
  <c r="F19" i="1"/>
  <c r="F18" i="1"/>
  <c r="F17" i="1"/>
  <c r="F16" i="1"/>
  <c r="F20" i="1" s="1"/>
  <c r="C23" i="1" s="1"/>
  <c r="I11" i="1"/>
  <c r="D11" i="1"/>
  <c r="D9" i="1" l="1"/>
  <c r="D12" i="1" s="1"/>
  <c r="I9" i="1"/>
  <c r="I12" i="1" s="1"/>
  <c r="H23" i="1" l="1"/>
  <c r="C26" i="1" s="1"/>
  <c r="C24" i="1"/>
  <c r="H24" i="1" s="1"/>
  <c r="H26" i="1" s="1"/>
</calcChain>
</file>

<file path=xl/sharedStrings.xml><?xml version="1.0" encoding="utf-8"?>
<sst xmlns="http://schemas.openxmlformats.org/spreadsheetml/2006/main" count="178" uniqueCount="90">
  <si>
    <t>PLANILLA "MARZO"</t>
  </si>
  <si>
    <t>Nombre</t>
  </si>
  <si>
    <t>Ámbar Zúñiga Álvarez</t>
  </si>
  <si>
    <t>Contrato</t>
  </si>
  <si>
    <t>Contrata</t>
  </si>
  <si>
    <t>RUT</t>
  </si>
  <si>
    <t>17.816.632-8</t>
  </si>
  <si>
    <t>Grado</t>
  </si>
  <si>
    <t>Unidad</t>
  </si>
  <si>
    <t>Imagenología</t>
  </si>
  <si>
    <t>Asig. de Turno</t>
  </si>
  <si>
    <t>NO</t>
  </si>
  <si>
    <t>Estamento</t>
  </si>
  <si>
    <t>Profesional</t>
  </si>
  <si>
    <t>Rotativa</t>
  </si>
  <si>
    <t>4° Turno</t>
  </si>
  <si>
    <t>Profesión</t>
  </si>
  <si>
    <t>TM Imagenología</t>
  </si>
  <si>
    <t>Valor Hora</t>
  </si>
  <si>
    <t>HORAS REALIZADAS</t>
  </si>
  <si>
    <t>Horas diurnas</t>
  </si>
  <si>
    <t>(+)</t>
  </si>
  <si>
    <t>Horas nocturnas</t>
  </si>
  <si>
    <t>Horas diurnas mes anterior</t>
  </si>
  <si>
    <t>Horas nocturnas mes anterior</t>
  </si>
  <si>
    <t>Horas diurnas mes siguiente</t>
  </si>
  <si>
    <t>(-)</t>
  </si>
  <si>
    <t>Horas nocturnas mes siguiente</t>
  </si>
  <si>
    <t>Total Horas Diurnas</t>
  </si>
  <si>
    <t>(=)</t>
  </si>
  <si>
    <t>Total Horas Nocturnas</t>
  </si>
  <si>
    <t>CÁLCULO HORAS HÁBILES DE MARZO</t>
  </si>
  <si>
    <t>Días hábiles con contrato</t>
  </si>
  <si>
    <t>Horas</t>
  </si>
  <si>
    <t>P. Administrativos</t>
  </si>
  <si>
    <t>F. Legal</t>
  </si>
  <si>
    <t>Licencias Médicas en días hábiles</t>
  </si>
  <si>
    <t>Total Horas hábiles de Marzo</t>
  </si>
  <si>
    <t>RESUMEN DE HORAS EXTRAS</t>
  </si>
  <si>
    <t>Horas hábiles Marzo</t>
  </si>
  <si>
    <t>HHEE Diurnas</t>
  </si>
  <si>
    <t>Total horas realizadas</t>
  </si>
  <si>
    <t>HHEE Nocturnas</t>
  </si>
  <si>
    <t>Pago diurno estimado</t>
  </si>
  <si>
    <t>Pago nocturno estimado</t>
  </si>
  <si>
    <t>PERMISOS / AUSENCIAS</t>
  </si>
  <si>
    <t>Fecha Inicio</t>
  </si>
  <si>
    <t>Fecha Término</t>
  </si>
  <si>
    <t>N° Solicitado</t>
  </si>
  <si>
    <t>Tipo de permiso</t>
  </si>
  <si>
    <t>Nuevo Saldo</t>
  </si>
  <si>
    <t>P. Administrativo</t>
  </si>
  <si>
    <t>CAMBIOS DE TURNO</t>
  </si>
  <si>
    <t>Recibe turno</t>
  </si>
  <si>
    <t>Fecha cambio</t>
  </si>
  <si>
    <t>Turno cambio</t>
  </si>
  <si>
    <t>Fecha devolucion</t>
  </si>
  <si>
    <t>Turno devolucion</t>
  </si>
  <si>
    <t>Juan Zúñiga Álvarez</t>
  </si>
  <si>
    <t>Noche</t>
  </si>
  <si>
    <t>Larga</t>
  </si>
  <si>
    <t>REGISTROS DE MARCAJE</t>
  </si>
  <si>
    <t>fecha</t>
  </si>
  <si>
    <t>turno</t>
  </si>
  <si>
    <t>Tipo de Incidencia</t>
  </si>
  <si>
    <t>Comentario</t>
  </si>
  <si>
    <t>salida a las 21:00</t>
  </si>
  <si>
    <t>1 hora extra por apoyo al turno</t>
  </si>
  <si>
    <t>Sin Salida</t>
  </si>
  <si>
    <t>Se justifica mediante memo</t>
  </si>
  <si>
    <t>DETALLE DE TURNOS</t>
  </si>
  <si>
    <t>Fecha</t>
  </si>
  <si>
    <t>Turno Base</t>
  </si>
  <si>
    <t>Turno realizado</t>
  </si>
  <si>
    <t>Reemplazo / motivo / CCTT</t>
  </si>
  <si>
    <t>Libre</t>
  </si>
  <si>
    <t>CCTT</t>
  </si>
  <si>
    <t>CCTT con Juan Zúñiga</t>
  </si>
  <si>
    <t>Larga DDTT</t>
  </si>
  <si>
    <t>DDTT a Juan Zúñiga</t>
  </si>
  <si>
    <t xml:space="preserve">salida a las 21:00 / 1 hora extra por apoyo al turno			</t>
  </si>
  <si>
    <t>Reemplaza Larga por F. Legal de Fernanda Valenzuela</t>
  </si>
  <si>
    <t>Reemplaza Larga por F. Compensatorio de Alexander Pires</t>
  </si>
  <si>
    <t>LM</t>
  </si>
  <si>
    <t>LICENCIA MÉDICA</t>
  </si>
  <si>
    <t>24 DDTT</t>
  </si>
  <si>
    <t xml:space="preserve">DDTT Larga a Juan Zúñiga - Reemplaza Noche por P. Administrativo de Renato Binimellis - No marca salida, Se justifica mediante memo			</t>
  </si>
  <si>
    <t>SubTotal</t>
  </si>
  <si>
    <t>Horas para el mes siguiente</t>
  </si>
  <si>
    <t>Total del 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</si>
</sst>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"/>
    <numFmt numFmtId="165" formatCode="dd\-mm\-yyyy"/>
    <numFmt numFmtId="166" formatCode="d/m/yyyy"/>
    <numFmt numFmtId="167" formatCode="#,#00"/>
    <numFmt numFmtId="168" formatCode="&quot;$&quot;\ #.##0"/>
  </numFmts>
  <fonts count="7" x14ac:knownFonts="1">
    <font>
      <sz val="10"/>
      <color rgb="FF000000"/>
      <name val="Arial"/>
      <scheme val="minor"/>
    </font>
    <font>
      <b/>
      <sz val="10"/>
      <color rgb="FF0F172A"/>
      <name val="Calibri"/>
      <family val="2"/>
    </font>
    <font>
      <b/>
      <sz val="10"/>
      <color rgb="FF111827"/>
      <name val="Calibri"/>
      <family val="2"/>
    </font>
    <font>
      <sz val="10"/>
      <color rgb="FF111827"/>
      <name val="Calibri"/>
      <family val="2"/>
    </font>
    <font>
      <b/>
      <sz val="16"/>
      <color rgb="FFFFFFFF"/>
      <name val="Calibri"/>
      <family val="2"/>
    </font>
    <font>
      <b/>
      <sz val="10"/>
      <color rgb="FF475569"/>
      <name val="Calibri"/>
      <family val="2"/>
    </font>
    <font>
      <b/>
      <sz val="11"/>
      <color rgb="FFFFFFFF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EFF6FF"/>
        <bgColor rgb="FFEFF6FF"/>
      </patternFill>
    </fill>
    <fill>
      <patternFill patternType="solid">
        <fgColor rgb="FFFFFFFF"/>
        <bgColor rgb="FFFFFFFF"/>
      </patternFill>
    </fill>
    <fill>
      <patternFill patternType="solid">
        <fgColor rgb="FFE0F2FE"/>
        <bgColor rgb="FFE0F2FE"/>
      </patternFill>
    </fill>
    <fill>
      <patternFill patternType="solid">
        <fgColor rgb="FFEDE9FE"/>
        <bgColor rgb="FFEDE9FE"/>
      </patternFill>
    </fill>
    <fill>
      <patternFill patternType="solid">
        <fgColor rgb="FFDBEAFE"/>
        <bgColor rgb="FFDBEAFE"/>
      </patternFill>
    </fill>
    <fill>
      <patternFill patternType="solid">
        <fgColor rgb="FF0F172A"/>
        <bgColor rgb="FF0F2742"/>
      </patternFill>
    </fill>
    <fill>
      <patternFill patternType="solid">
        <fgColor rgb="FF0F172A"/>
        <bgColor indexed="64"/>
      </patternFill>
    </fill>
    <fill>
      <patternFill patternType="solid">
        <fgColor rgb="FFF8FAFC"/>
        <bgColor rgb="FFEFF6FF"/>
      </patternFill>
    </fill>
    <fill>
      <patternFill patternType="solid">
        <fgColor rgb="FFF8FAFC"/>
        <bgColor rgb="FFFFFFFF"/>
      </patternFill>
    </fill>
    <fill>
      <patternFill patternType="solid">
        <fgColor rgb="FFF8FAFC"/>
        <bgColor indexed="64"/>
      </patternFill>
    </fill>
    <fill>
      <patternFill patternType="solid">
        <fgColor rgb="FF1D6CFF"/>
        <bgColor rgb="FF0F766E"/>
      </patternFill>
    </fill>
    <fill>
      <patternFill patternType="solid">
        <fgColor rgb="FF1D6CFF"/>
        <bgColor indexed="64"/>
      </patternFill>
    </fill>
    <fill>
      <patternFill patternType="solid">
        <fgColor rgb="FFDBEAFE"/>
        <bgColor indexed="64"/>
      </patternFill>
    </fill>
    <fill>
      <patternFill patternType="solid">
        <fgColor rgb="FFDBEAFE"/>
        <bgColor rgb="FF0F2742"/>
      </patternFill>
    </fill>
    <fill>
      <patternFill patternType="solid">
        <fgColor rgb="FFFFFFFF"/>
        <bgColor rgb="FFF4CCCC"/>
      </patternFill>
    </fill>
    <fill>
      <patternFill patternType="solid">
        <fgColor rgb="FFFFFFFF"/>
        <bgColor indexed="64"/>
      </patternFill>
    </fill>
    <fill>
      <patternFill patternType="solid">
        <fgColor rgb="FFF8FAFC"/>
        <bgColor rgb="FFD9EAD3"/>
      </patternFill>
    </fill>
    <fill>
      <patternFill patternType="solid">
        <fgColor rgb="FFFFFFFF"/>
        <bgColor rgb="FFD9EAD3"/>
      </patternFill>
    </fill>
    <fill>
      <patternFill patternType="solid">
        <fgColor rgb="FFF8FAFC"/>
        <bgColor rgb="FFF4CCCC"/>
      </patternFill>
    </fill>
    <fill>
      <patternFill patternType="solid">
        <fgColor rgb="FFFFFFFF"/>
        <bgColor rgb="FFA4C2F4"/>
      </patternFill>
    </fill>
    <fill>
      <patternFill patternType="solid">
        <fgColor rgb="FFF8FAFC"/>
        <bgColor rgb="FFA4C2F4"/>
      </patternFill>
    </fill>
    <fill>
      <patternFill patternType="solid">
        <fgColor rgb="FFEEF2FF"/>
        <bgColor rgb="FFD9EAD3"/>
      </patternFill>
    </fill>
    <fill>
      <patternFill patternType="solid">
        <fgColor rgb="FFEEF2FF"/>
        <bgColor indexed="64"/>
      </patternFill>
    </fill>
    <fill>
      <patternFill patternType="solid">
        <fgColor rgb="FFEEF2FF"/>
        <bgColor rgb="FFA4C2F4"/>
      </patternFill>
    </fill>
  </fills>
  <borders count="2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3" fillId="0" borderId="0" xfId="0" applyFont="1"/>
    <xf numFmtId="0" fontId="5" fillId="9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left" vertical="center" wrapText="1"/>
    </xf>
    <xf numFmtId="164" fontId="3" fillId="10" borderId="1" xfId="0" applyNumberFormat="1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1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1" fontId="2" fillId="5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1" fontId="1" fillId="6" borderId="1" xfId="0" applyNumberFormat="1" applyFont="1" applyFill="1" applyBorder="1" applyAlignment="1">
      <alignment horizontal="center" vertical="center" wrapText="1"/>
    </xf>
    <xf numFmtId="165" fontId="1" fillId="14" borderId="1" xfId="0" applyNumberFormat="1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3" fillId="11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left" vertical="center" wrapText="1"/>
    </xf>
    <xf numFmtId="165" fontId="3" fillId="0" borderId="1" xfId="0" applyNumberFormat="1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" fontId="2" fillId="0" borderId="1" xfId="0" applyNumberFormat="1" applyFont="1" applyBorder="1" applyAlignment="1">
      <alignment horizontal="center" vertical="center" wrapText="1"/>
    </xf>
    <xf numFmtId="166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" fontId="3" fillId="0" borderId="1" xfId="0" applyNumberFormat="1" applyFont="1" applyBorder="1" applyAlignment="1">
      <alignment vertical="center" wrapText="1"/>
    </xf>
    <xf numFmtId="165" fontId="2" fillId="0" borderId="1" xfId="0" applyNumberFormat="1" applyFont="1" applyBorder="1" applyAlignment="1">
      <alignment horizontal="right" vertical="center" wrapText="1"/>
    </xf>
    <xf numFmtId="0" fontId="2" fillId="24" borderId="1" xfId="0" applyFont="1" applyFill="1" applyBorder="1" applyAlignment="1">
      <alignment vertical="center" wrapText="1"/>
    </xf>
    <xf numFmtId="0" fontId="2" fillId="25" borderId="1" xfId="0" applyFont="1" applyFill="1" applyBorder="1" applyAlignment="1">
      <alignment horizontal="left" vertical="center" wrapText="1"/>
    </xf>
    <xf numFmtId="1" fontId="2" fillId="24" borderId="1" xfId="0" applyNumberFormat="1" applyFont="1" applyFill="1" applyBorder="1" applyAlignment="1">
      <alignment vertical="center" wrapText="1"/>
    </xf>
    <xf numFmtId="14" fontId="3" fillId="0" borderId="1" xfId="0" applyNumberFormat="1" applyFont="1" applyBorder="1" applyAlignment="1">
      <alignment vertical="center" wrapText="1"/>
    </xf>
    <xf numFmtId="14" fontId="2" fillId="0" borderId="1" xfId="0" applyNumberFormat="1" applyFont="1" applyBorder="1" applyAlignment="1">
      <alignment vertical="center" wrapText="1"/>
    </xf>
    <xf numFmtId="14" fontId="2" fillId="0" borderId="1" xfId="0" applyNumberFormat="1" applyFont="1" applyBorder="1" applyAlignment="1">
      <alignment horizontal="right" vertical="center" wrapText="1"/>
    </xf>
    <xf numFmtId="14" fontId="2" fillId="16" borderId="1" xfId="0" applyNumberFormat="1" applyFont="1" applyFill="1" applyBorder="1" applyAlignment="1">
      <alignment horizontal="right" vertical="center" wrapText="1"/>
    </xf>
    <xf numFmtId="14" fontId="2" fillId="18" borderId="1" xfId="0" applyNumberFormat="1" applyFont="1" applyFill="1" applyBorder="1" applyAlignment="1">
      <alignment horizontal="right" vertical="center" wrapText="1"/>
    </xf>
    <xf numFmtId="14" fontId="2" fillId="19" borderId="1" xfId="0" applyNumberFormat="1" applyFont="1" applyFill="1" applyBorder="1" applyAlignment="1">
      <alignment horizontal="right" vertical="center" wrapText="1"/>
    </xf>
    <xf numFmtId="14" fontId="2" fillId="20" borderId="1" xfId="0" applyNumberFormat="1" applyFont="1" applyFill="1" applyBorder="1" applyAlignment="1">
      <alignment horizontal="right" vertical="center" wrapText="1"/>
    </xf>
    <xf numFmtId="14" fontId="2" fillId="23" borderId="1" xfId="0" applyNumberFormat="1" applyFont="1" applyFill="1" applyBorder="1" applyAlignment="1">
      <alignment horizontal="right" vertical="center" wrapText="1"/>
    </xf>
    <xf numFmtId="14" fontId="2" fillId="24" borderId="1" xfId="0" applyNumberFormat="1" applyFont="1" applyFill="1" applyBorder="1" applyAlignment="1">
      <alignment vertical="center" wrapText="1"/>
    </xf>
    <xf numFmtId="167" fontId="2" fillId="17" borderId="1" xfId="0" applyNumberFormat="1" applyFont="1" applyFill="1" applyBorder="1" applyAlignment="1">
      <alignment horizontal="center" vertical="center" wrapText="1"/>
    </xf>
    <xf numFmtId="167" fontId="2" fillId="11" borderId="1" xfId="0" applyNumberFormat="1" applyFont="1" applyFill="1" applyBorder="1" applyAlignment="1">
      <alignment horizontal="center" vertical="center" wrapText="1"/>
    </xf>
    <xf numFmtId="167" fontId="2" fillId="24" borderId="1" xfId="0" applyNumberFormat="1" applyFont="1" applyFill="1" applyBorder="1" applyAlignment="1">
      <alignment horizontal="center" vertical="center" wrapText="1"/>
    </xf>
    <xf numFmtId="167" fontId="2" fillId="24" borderId="1" xfId="0" applyNumberFormat="1" applyFont="1" applyFill="1" applyBorder="1" applyAlignment="1">
      <alignment vertical="center" wrapText="1"/>
    </xf>
    <xf numFmtId="167" fontId="2" fillId="2" borderId="1" xfId="0" applyNumberFormat="1" applyFont="1" applyFill="1" applyBorder="1" applyAlignment="1">
      <alignment vertical="center" wrapText="1"/>
    </xf>
    <xf numFmtId="168" fontId="2" fillId="2" borderId="1" xfId="0" applyNumberFormat="1" applyFont="1" applyFill="1" applyBorder="1" applyAlignment="1">
      <alignment vertical="center" wrapText="1"/>
    </xf>
    <xf numFmtId="0" fontId="2" fillId="17" borderId="1" xfId="0" applyFont="1" applyFill="1" applyBorder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2" fillId="11" borderId="1" xfId="0" applyFont="1" applyFill="1" applyBorder="1" applyAlignment="1">
      <alignment vertical="center" wrapText="1"/>
    </xf>
    <xf numFmtId="0" fontId="3" fillId="11" borderId="1" xfId="0" applyFont="1" applyFill="1" applyBorder="1" applyAlignment="1">
      <alignment vertical="center" wrapText="1"/>
    </xf>
    <xf numFmtId="0" fontId="2" fillId="24" borderId="1" xfId="0" applyFont="1" applyFill="1" applyBorder="1" applyAlignment="1">
      <alignment vertical="center" wrapText="1"/>
    </xf>
    <xf numFmtId="0" fontId="2" fillId="21" borderId="1" xfId="0" applyFont="1" applyFill="1" applyBorder="1" applyAlignment="1">
      <alignment horizontal="left" vertical="center" wrapText="1"/>
    </xf>
    <xf numFmtId="0" fontId="2" fillId="25" borderId="1" xfId="0" applyFont="1" applyFill="1" applyBorder="1" applyAlignment="1">
      <alignment horizontal="left" vertical="center" wrapText="1"/>
    </xf>
    <xf numFmtId="0" fontId="2" fillId="2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left" vertical="center" wrapText="1"/>
    </xf>
    <xf numFmtId="0" fontId="6" fillId="13" borderId="1" xfId="0" applyFont="1" applyFill="1" applyBorder="1" applyAlignment="1">
      <alignment horizontal="left" vertical="center" wrapText="1"/>
    </xf>
    <xf numFmtId="1" fontId="1" fillId="6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168" fontId="2" fillId="2" borderId="1" xfId="0" applyNumberFormat="1" applyFont="1" applyFill="1" applyBorder="1" applyAlignment="1">
      <alignment horizontal="left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1" fontId="1" fillId="14" borderId="1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Border="1" applyAlignment="1">
      <alignment vertical="center" wrapText="1"/>
    </xf>
  </cellXfs>
  <cellStyles count="1">
    <cellStyle name="Normal" xfId="0" builtinId="0"/>
  </cellStyles>
  <dxfs count="6">
    <dxf>
      <font>
        <color rgb="FF64748B"/>
      </font>
      <fill>
        <patternFill patternType="solid">
          <fgColor rgb="FFF8FAFC"/>
          <bgColor rgb="FFF8FAFC"/>
        </patternFill>
      </fill>
    </dxf>
    <dxf>
      <font>
        <b/>
        <color rgb="FF92400E"/>
      </font>
      <fill>
        <patternFill patternType="solid">
          <fgColor rgb="FFFEF3C7"/>
          <bgColor rgb="FFFEF3C7"/>
        </patternFill>
      </fill>
    </dxf>
    <dxf>
      <font>
        <b/>
        <color rgb="FF1D4ED8"/>
      </font>
      <fill>
        <patternFill patternType="solid">
          <fgColor rgb="FFDBEAFE"/>
          <bgColor rgb="FFDBEAFE"/>
        </patternFill>
      </fill>
    </dxf>
    <dxf>
      <font>
        <b/>
        <color rgb="FF166534"/>
      </font>
      <fill>
        <patternFill patternType="solid">
          <fgColor rgb="FFDCFCE7"/>
          <bgColor rgb="FFDCFCE7"/>
        </patternFill>
      </fill>
    </dxf>
    <dxf>
      <font>
        <b/>
        <color rgb="FF065F46"/>
      </font>
      <fill>
        <patternFill patternType="solid">
          <fgColor rgb="FFECFDF5"/>
          <bgColor rgb="FFECFDF5"/>
        </patternFill>
      </fill>
    </dxf>
    <dxf>
      <font>
        <b/>
        <color rgb="FF991B1B"/>
      </font>
      <fill>
        <patternFill patternType="solid">
          <fgColor rgb="FFFEE2E2"/>
          <bgColor rgb="FFFEE2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238125</xdr:colOff>
      <xdr:row>1</xdr:row>
      <xdr:rowOff>47625</xdr:rowOff>
    </xdr:from>
    <xdr:ext cx="2057400" cy="9239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I83"/>
  <sheetViews>
    <sheetView showGridLines="0" tabSelected="1" workbookViewId="0">
      <pane ySplit="8" topLeftCell="A9" activePane="bottomLeft" state="frozenSplit"/>
      <selection pane="bottomLeft" sqref="A1:I1"/>
    </sheetView>
  </sheetViews>
  <sheetFormatPr baseColWidth="10" defaultColWidth="12.5703125" defaultRowHeight="15" customHeight="1" x14ac:dyDescent="0.2"/>
  <cols>
    <col min="1" max="1" width="11.7109375" style="1" customWidth="1"/>
    <col min="2" max="2" width="13.7109375" style="1" customWidth="1"/>
    <col min="3" max="3" width="15.7109375" style="1" customWidth="1"/>
    <col min="4" max="4" width="4.7109375" style="1" customWidth="1"/>
    <col min="5" max="5" width="10.7109375" style="1" customWidth="1"/>
    <col min="6" max="6" width="11.7109375" style="1" customWidth="1"/>
    <col min="7" max="7" width="28.7109375" style="1" customWidth="1"/>
    <col min="8" max="8" width="9.7109375" style="1" customWidth="1"/>
    <col min="9" max="9" width="7.7109375" style="1" customWidth="1"/>
    <col min="10" max="16384" width="12.5703125" style="1"/>
  </cols>
  <sheetData>
    <row r="1" spans="1:9" ht="30" customHeight="1" x14ac:dyDescent="0.2">
      <c r="A1" s="77" t="s">
        <v>0</v>
      </c>
      <c r="B1" s="78"/>
      <c r="C1" s="78"/>
      <c r="D1" s="78"/>
      <c r="E1" s="78"/>
      <c r="F1" s="78"/>
      <c r="G1" s="78"/>
      <c r="H1" s="78"/>
      <c r="I1" s="78"/>
    </row>
    <row r="2" spans="1:9" ht="15" customHeight="1" x14ac:dyDescent="0.2">
      <c r="A2" s="2" t="s">
        <v>1</v>
      </c>
      <c r="B2" s="79" t="s">
        <v>2</v>
      </c>
      <c r="C2" s="57"/>
      <c r="D2" s="80" t="s">
        <v>3</v>
      </c>
      <c r="E2" s="57"/>
      <c r="F2" s="79" t="s">
        <v>4</v>
      </c>
      <c r="G2" s="57"/>
      <c r="H2" s="3"/>
      <c r="I2" s="3"/>
    </row>
    <row r="3" spans="1:9" ht="15" customHeight="1" x14ac:dyDescent="0.2">
      <c r="A3" s="2" t="s">
        <v>5</v>
      </c>
      <c r="B3" s="79" t="s">
        <v>6</v>
      </c>
      <c r="C3" s="57"/>
      <c r="D3" s="80" t="s">
        <v>7</v>
      </c>
      <c r="E3" s="57"/>
      <c r="F3" s="4">
        <v>15</v>
      </c>
      <c r="G3" s="3"/>
      <c r="H3" s="3"/>
      <c r="I3" s="3"/>
    </row>
    <row r="4" spans="1:9" ht="15" customHeight="1" x14ac:dyDescent="0.2">
      <c r="A4" s="2" t="s">
        <v>8</v>
      </c>
      <c r="B4" s="79" t="s">
        <v>9</v>
      </c>
      <c r="C4" s="57"/>
      <c r="D4" s="80" t="s">
        <v>10</v>
      </c>
      <c r="E4" s="57"/>
      <c r="F4" s="4" t="s">
        <v>11</v>
      </c>
      <c r="G4" s="3"/>
      <c r="H4" s="3"/>
      <c r="I4" s="3"/>
    </row>
    <row r="5" spans="1:9" ht="15" customHeight="1" x14ac:dyDescent="0.2">
      <c r="A5" s="2" t="s">
        <v>12</v>
      </c>
      <c r="B5" s="79" t="s">
        <v>13</v>
      </c>
      <c r="C5" s="57"/>
      <c r="D5" s="80" t="s">
        <v>14</v>
      </c>
      <c r="E5" s="57"/>
      <c r="F5" s="4" t="s">
        <v>15</v>
      </c>
      <c r="G5" s="3"/>
      <c r="H5" s="3"/>
      <c r="I5" s="3"/>
    </row>
    <row r="6" spans="1:9" ht="15" customHeight="1" x14ac:dyDescent="0.2">
      <c r="A6" s="2" t="s">
        <v>16</v>
      </c>
      <c r="B6" s="79" t="s">
        <v>17</v>
      </c>
      <c r="C6" s="57"/>
      <c r="D6" s="80" t="s">
        <v>18</v>
      </c>
      <c r="E6" s="57"/>
      <c r="F6" s="5">
        <v>6107.22</v>
      </c>
      <c r="G6" s="23"/>
      <c r="H6" s="3"/>
      <c r="I6" s="3"/>
    </row>
    <row r="7" spans="1:9" ht="8.25" customHeight="1" x14ac:dyDescent="0.2">
      <c r="A7" s="6"/>
      <c r="B7" s="6"/>
      <c r="C7" s="6"/>
      <c r="D7" s="6"/>
      <c r="E7" s="6"/>
      <c r="F7" s="6"/>
      <c r="G7" s="6"/>
      <c r="H7" s="7"/>
      <c r="I7" s="7"/>
    </row>
    <row r="8" spans="1:9" ht="21.95" customHeight="1" x14ac:dyDescent="0.2">
      <c r="A8" s="67" t="s">
        <v>19</v>
      </c>
      <c r="B8" s="68"/>
      <c r="C8" s="68"/>
      <c r="D8" s="68"/>
      <c r="E8" s="68"/>
      <c r="F8" s="68"/>
      <c r="G8" s="68"/>
      <c r="H8" s="68"/>
      <c r="I8" s="68"/>
    </row>
    <row r="9" spans="1:9" ht="21.75" customHeight="1" x14ac:dyDescent="0.2">
      <c r="A9" s="20" t="s">
        <v>20</v>
      </c>
      <c r="B9" s="6"/>
      <c r="C9" s="6" t="s">
        <v>21</v>
      </c>
      <c r="D9" s="8">
        <f>E81</f>
        <v>59</v>
      </c>
      <c r="E9" s="20"/>
      <c r="F9" s="20" t="s">
        <v>22</v>
      </c>
      <c r="G9" s="6"/>
      <c r="H9" s="6" t="s">
        <v>21</v>
      </c>
      <c r="I9" s="8">
        <f>F81</f>
        <v>98</v>
      </c>
    </row>
    <row r="10" spans="1:9" ht="21.75" customHeight="1" x14ac:dyDescent="0.2">
      <c r="A10" s="20" t="s">
        <v>23</v>
      </c>
      <c r="B10" s="6"/>
      <c r="C10" s="6" t="s">
        <v>21</v>
      </c>
      <c r="D10" s="9">
        <v>1</v>
      </c>
      <c r="E10" s="20"/>
      <c r="F10" s="20" t="s">
        <v>24</v>
      </c>
      <c r="G10" s="6"/>
      <c r="H10" s="6" t="s">
        <v>21</v>
      </c>
      <c r="I10" s="9">
        <v>8</v>
      </c>
    </row>
    <row r="11" spans="1:9" ht="21.75" customHeight="1" x14ac:dyDescent="0.2">
      <c r="A11" s="20" t="s">
        <v>25</v>
      </c>
      <c r="B11" s="6"/>
      <c r="C11" s="6" t="s">
        <v>26</v>
      </c>
      <c r="D11" s="8">
        <f>E82</f>
        <v>1</v>
      </c>
      <c r="E11" s="20"/>
      <c r="F11" s="20" t="s">
        <v>27</v>
      </c>
      <c r="G11" s="6"/>
      <c r="H11" s="6" t="s">
        <v>26</v>
      </c>
      <c r="I11" s="8">
        <f>F82</f>
        <v>7</v>
      </c>
    </row>
    <row r="12" spans="1:9" ht="21.75" customHeight="1" x14ac:dyDescent="0.2">
      <c r="A12" s="21" t="s">
        <v>28</v>
      </c>
      <c r="B12" s="6"/>
      <c r="C12" s="6" t="s">
        <v>29</v>
      </c>
      <c r="D12" s="10">
        <f>D9+D10-D11</f>
        <v>59</v>
      </c>
      <c r="E12" s="22"/>
      <c r="F12" s="22" t="s">
        <v>30</v>
      </c>
      <c r="G12" s="6"/>
      <c r="H12" s="6" t="s">
        <v>29</v>
      </c>
      <c r="I12" s="11">
        <f>I9+I10-I11</f>
        <v>99</v>
      </c>
    </row>
    <row r="13" spans="1:9" ht="4.5" customHeight="1" x14ac:dyDescent="0.2">
      <c r="A13" s="21"/>
      <c r="B13" s="6"/>
      <c r="C13" s="12"/>
      <c r="D13" s="6"/>
      <c r="E13" s="22"/>
      <c r="F13" s="22"/>
      <c r="G13" s="6"/>
      <c r="H13" s="13"/>
      <c r="I13" s="6"/>
    </row>
    <row r="14" spans="1:9" ht="21.95" customHeight="1" x14ac:dyDescent="0.2">
      <c r="A14" s="67" t="s">
        <v>31</v>
      </c>
      <c r="B14" s="68"/>
      <c r="C14" s="68"/>
      <c r="D14" s="68"/>
      <c r="E14" s="68"/>
      <c r="F14" s="68"/>
      <c r="G14" s="68"/>
      <c r="H14" s="68"/>
      <c r="I14" s="68"/>
    </row>
    <row r="15" spans="1:9" ht="15" customHeight="1" x14ac:dyDescent="0.2">
      <c r="A15" s="6"/>
      <c r="B15" s="6"/>
      <c r="C15" s="6"/>
      <c r="D15" s="6"/>
      <c r="E15" s="6"/>
      <c r="F15" s="6"/>
      <c r="G15" s="6"/>
      <c r="H15" s="6"/>
      <c r="I15" s="6"/>
    </row>
    <row r="16" spans="1:9" ht="15" customHeight="1" x14ac:dyDescent="0.2">
      <c r="A16" s="12">
        <v>21</v>
      </c>
      <c r="B16" s="21" t="s">
        <v>32</v>
      </c>
      <c r="C16" s="6"/>
      <c r="D16" s="6"/>
      <c r="E16" s="24" t="s">
        <v>21</v>
      </c>
      <c r="F16" s="73">
        <f t="shared" ref="F16:F19" si="0">A16*8.8</f>
        <v>184.8</v>
      </c>
      <c r="G16" s="63"/>
      <c r="H16" s="22" t="s">
        <v>33</v>
      </c>
      <c r="I16" s="6"/>
    </row>
    <row r="17" spans="1:9" ht="15" customHeight="1" x14ac:dyDescent="0.2">
      <c r="A17" s="12">
        <v>2</v>
      </c>
      <c r="B17" s="21" t="s">
        <v>34</v>
      </c>
      <c r="C17" s="6"/>
      <c r="D17" s="6"/>
      <c r="E17" s="24" t="s">
        <v>26</v>
      </c>
      <c r="F17" s="73">
        <f t="shared" si="0"/>
        <v>17.600000000000001</v>
      </c>
      <c r="G17" s="63"/>
      <c r="H17" s="22" t="s">
        <v>33</v>
      </c>
      <c r="I17" s="6"/>
    </row>
    <row r="18" spans="1:9" ht="15" customHeight="1" x14ac:dyDescent="0.2">
      <c r="A18" s="12">
        <v>1</v>
      </c>
      <c r="B18" s="21" t="s">
        <v>35</v>
      </c>
      <c r="C18" s="6"/>
      <c r="D18" s="6"/>
      <c r="E18" s="24" t="s">
        <v>26</v>
      </c>
      <c r="F18" s="73">
        <f t="shared" si="0"/>
        <v>8.8000000000000007</v>
      </c>
      <c r="G18" s="63"/>
      <c r="H18" s="22" t="s">
        <v>33</v>
      </c>
      <c r="I18" s="6"/>
    </row>
    <row r="19" spans="1:9" ht="15" customHeight="1" x14ac:dyDescent="0.2">
      <c r="A19" s="12">
        <v>3</v>
      </c>
      <c r="B19" s="21" t="s">
        <v>36</v>
      </c>
      <c r="C19" s="6"/>
      <c r="D19" s="6"/>
      <c r="E19" s="24" t="s">
        <v>26</v>
      </c>
      <c r="F19" s="73">
        <f t="shared" si="0"/>
        <v>26.400000000000002</v>
      </c>
      <c r="G19" s="63"/>
      <c r="H19" s="22" t="s">
        <v>33</v>
      </c>
      <c r="I19" s="6"/>
    </row>
    <row r="20" spans="1:9" ht="15" customHeight="1" x14ac:dyDescent="0.2">
      <c r="A20" s="6"/>
      <c r="B20" s="21" t="s">
        <v>37</v>
      </c>
      <c r="C20" s="12"/>
      <c r="D20" s="6"/>
      <c r="E20" s="24" t="s">
        <v>29</v>
      </c>
      <c r="F20" s="74">
        <f>F16-F17-F18-F19</f>
        <v>132</v>
      </c>
      <c r="G20" s="63"/>
      <c r="H20" s="22" t="s">
        <v>33</v>
      </c>
      <c r="I20" s="6"/>
    </row>
    <row r="21" spans="1:9" ht="9.75" customHeight="1" x14ac:dyDescent="0.2">
      <c r="A21" s="21"/>
      <c r="B21" s="6"/>
      <c r="C21" s="12"/>
      <c r="D21" s="6"/>
      <c r="E21" s="22"/>
      <c r="F21" s="22"/>
      <c r="G21" s="6"/>
      <c r="H21" s="13"/>
      <c r="I21" s="6"/>
    </row>
    <row r="22" spans="1:9" ht="21.95" customHeight="1" x14ac:dyDescent="0.2">
      <c r="A22" s="67" t="s">
        <v>38</v>
      </c>
      <c r="B22" s="68"/>
      <c r="C22" s="68"/>
      <c r="D22" s="68"/>
      <c r="E22" s="68"/>
      <c r="F22" s="68"/>
      <c r="G22" s="68"/>
      <c r="H22" s="68"/>
      <c r="I22" s="68"/>
    </row>
    <row r="23" spans="1:9" ht="15" customHeight="1" x14ac:dyDescent="0.2">
      <c r="A23" s="20" t="s">
        <v>39</v>
      </c>
      <c r="B23" s="20"/>
      <c r="C23" s="52">
        <f>F20</f>
        <v>132</v>
      </c>
      <c r="D23" s="20"/>
      <c r="E23" s="20"/>
      <c r="F23" s="20" t="s">
        <v>40</v>
      </c>
      <c r="G23" s="20"/>
      <c r="H23" s="52">
        <f>(IF(D12&gt;C23,D12-C23,0))</f>
        <v>0</v>
      </c>
      <c r="I23" s="20"/>
    </row>
    <row r="24" spans="1:9" ht="15" customHeight="1" x14ac:dyDescent="0.2">
      <c r="A24" s="20" t="s">
        <v>41</v>
      </c>
      <c r="B24" s="20"/>
      <c r="C24" s="52">
        <f>D12+I12</f>
        <v>158</v>
      </c>
      <c r="D24" s="20"/>
      <c r="E24" s="20"/>
      <c r="F24" s="20" t="s">
        <v>42</v>
      </c>
      <c r="G24" s="20"/>
      <c r="H24" s="52">
        <f>(IF(D12&gt;C23,I12,C24-C23))</f>
        <v>26</v>
      </c>
      <c r="I24" s="20"/>
    </row>
    <row r="25" spans="1:9" ht="9.75" customHeight="1" x14ac:dyDescent="0.2">
      <c r="A25" s="20"/>
      <c r="B25" s="20"/>
      <c r="C25" s="20"/>
      <c r="D25" s="20"/>
      <c r="E25" s="20"/>
      <c r="F25" s="20"/>
      <c r="G25" s="20"/>
      <c r="H25" s="20"/>
      <c r="I25" s="20"/>
    </row>
    <row r="26" spans="1:9" ht="15" customHeight="1" x14ac:dyDescent="0.2">
      <c r="A26" s="20" t="s">
        <v>43</v>
      </c>
      <c r="B26" s="20"/>
      <c r="C26" s="53">
        <f>H23*F6*1.25</f>
        <v>0</v>
      </c>
      <c r="D26" s="53"/>
      <c r="E26" s="53"/>
      <c r="F26" s="53" t="s">
        <v>44</v>
      </c>
      <c r="G26" s="53"/>
      <c r="H26" s="75">
        <f>H24*F6*1.5</f>
        <v>238181.58000000002</v>
      </c>
      <c r="I26" s="63"/>
    </row>
    <row r="27" spans="1:9" ht="10.5" customHeight="1" x14ac:dyDescent="0.2">
      <c r="A27" s="20"/>
      <c r="B27" s="9"/>
      <c r="C27" s="7"/>
      <c r="D27" s="7"/>
      <c r="E27" s="7"/>
      <c r="F27" s="7"/>
      <c r="G27" s="7"/>
      <c r="H27" s="6"/>
      <c r="I27" s="6"/>
    </row>
    <row r="28" spans="1:9" ht="21.95" customHeight="1" x14ac:dyDescent="0.2">
      <c r="A28" s="67" t="s">
        <v>45</v>
      </c>
      <c r="B28" s="68"/>
      <c r="C28" s="68"/>
      <c r="D28" s="68"/>
      <c r="E28" s="68"/>
      <c r="F28" s="68"/>
      <c r="G28" s="68"/>
      <c r="H28" s="68"/>
      <c r="I28" s="68"/>
    </row>
    <row r="29" spans="1:9" ht="6.75" customHeight="1" x14ac:dyDescent="0.2">
      <c r="A29" s="6"/>
      <c r="B29" s="6"/>
      <c r="C29" s="7"/>
      <c r="D29" s="7"/>
      <c r="E29" s="7"/>
      <c r="F29" s="7"/>
      <c r="G29" s="7"/>
      <c r="H29" s="6"/>
      <c r="I29" s="6"/>
    </row>
    <row r="30" spans="1:9" ht="24" customHeight="1" x14ac:dyDescent="0.2">
      <c r="A30" s="14" t="s">
        <v>46</v>
      </c>
      <c r="B30" s="14" t="s">
        <v>47</v>
      </c>
      <c r="C30" s="14" t="s">
        <v>48</v>
      </c>
      <c r="D30" s="14"/>
      <c r="E30" s="14" t="s">
        <v>49</v>
      </c>
      <c r="F30" s="14"/>
      <c r="G30" s="14" t="s">
        <v>50</v>
      </c>
      <c r="H30" s="14"/>
      <c r="I30" s="14"/>
    </row>
    <row r="31" spans="1:9" ht="15" customHeight="1" x14ac:dyDescent="0.2">
      <c r="A31" s="39">
        <v>46085</v>
      </c>
      <c r="B31" s="39">
        <v>46085</v>
      </c>
      <c r="C31" s="62">
        <v>1</v>
      </c>
      <c r="D31" s="63"/>
      <c r="E31" s="6" t="s">
        <v>51</v>
      </c>
      <c r="F31" s="6"/>
      <c r="G31" s="74">
        <v>4</v>
      </c>
      <c r="H31" s="63"/>
      <c r="I31" s="63"/>
    </row>
    <row r="32" spans="1:9" ht="15" customHeight="1" x14ac:dyDescent="0.2">
      <c r="A32" s="39">
        <v>46097</v>
      </c>
      <c r="B32" s="39">
        <v>46097</v>
      </c>
      <c r="C32" s="62">
        <v>1</v>
      </c>
      <c r="D32" s="63"/>
      <c r="E32" s="63" t="s">
        <v>35</v>
      </c>
      <c r="F32" s="63"/>
      <c r="G32" s="25">
        <v>13</v>
      </c>
      <c r="H32" s="25"/>
      <c r="I32" s="25"/>
    </row>
    <row r="33" spans="1:9" ht="15" customHeight="1" x14ac:dyDescent="0.2">
      <c r="A33" s="39">
        <v>46101</v>
      </c>
      <c r="B33" s="39">
        <v>46101</v>
      </c>
      <c r="C33" s="62">
        <v>1</v>
      </c>
      <c r="D33" s="63"/>
      <c r="E33" s="63" t="s">
        <v>51</v>
      </c>
      <c r="F33" s="63"/>
      <c r="G33" s="25">
        <v>3</v>
      </c>
      <c r="H33" s="25"/>
      <c r="I33" s="25"/>
    </row>
    <row r="34" spans="1:9" ht="15" customHeight="1" x14ac:dyDescent="0.2">
      <c r="A34" s="40"/>
      <c r="B34" s="40"/>
      <c r="C34" s="27"/>
      <c r="D34" s="27"/>
      <c r="E34" s="28"/>
      <c r="F34" s="28"/>
      <c r="G34" s="28"/>
      <c r="H34" s="25"/>
      <c r="I34" s="25"/>
    </row>
    <row r="35" spans="1:9" ht="9" customHeight="1" x14ac:dyDescent="0.2">
      <c r="A35" s="6"/>
      <c r="B35" s="6"/>
      <c r="C35" s="7"/>
      <c r="D35" s="7"/>
      <c r="E35" s="7"/>
      <c r="F35" s="7"/>
      <c r="G35" s="7"/>
      <c r="H35" s="6"/>
      <c r="I35" s="6"/>
    </row>
    <row r="36" spans="1:9" ht="21.95" customHeight="1" x14ac:dyDescent="0.2">
      <c r="A36" s="67" t="s">
        <v>52</v>
      </c>
      <c r="B36" s="68"/>
      <c r="C36" s="68"/>
      <c r="D36" s="68"/>
      <c r="E36" s="68"/>
      <c r="F36" s="68"/>
      <c r="G36" s="68"/>
      <c r="H36" s="68"/>
      <c r="I36" s="68"/>
    </row>
    <row r="37" spans="1:9" ht="24" customHeight="1" x14ac:dyDescent="0.2">
      <c r="A37" s="64" t="s">
        <v>53</v>
      </c>
      <c r="B37" s="65"/>
      <c r="C37" s="64" t="s">
        <v>54</v>
      </c>
      <c r="D37" s="65"/>
      <c r="E37" s="69" t="s">
        <v>55</v>
      </c>
      <c r="F37" s="65"/>
      <c r="G37" s="15" t="s">
        <v>56</v>
      </c>
      <c r="H37" s="64" t="s">
        <v>57</v>
      </c>
      <c r="I37" s="65"/>
    </row>
    <row r="38" spans="1:9" ht="21.75" customHeight="1" x14ac:dyDescent="0.2">
      <c r="A38" s="70" t="s">
        <v>58</v>
      </c>
      <c r="B38" s="63"/>
      <c r="C38" s="71">
        <v>46090</v>
      </c>
      <c r="D38" s="63"/>
      <c r="E38" s="72" t="s">
        <v>59</v>
      </c>
      <c r="F38" s="63"/>
      <c r="G38" s="32">
        <v>46092</v>
      </c>
      <c r="H38" s="66" t="s">
        <v>60</v>
      </c>
      <c r="I38" s="63"/>
    </row>
    <row r="39" spans="1:9" ht="15.75" customHeight="1" x14ac:dyDescent="0.2">
      <c r="A39" s="70" t="s">
        <v>58</v>
      </c>
      <c r="B39" s="63"/>
      <c r="C39" s="71">
        <v>46106</v>
      </c>
      <c r="D39" s="63"/>
      <c r="E39" s="72" t="s">
        <v>60</v>
      </c>
      <c r="F39" s="63"/>
      <c r="G39" s="32">
        <v>46112</v>
      </c>
      <c r="H39" s="66" t="s">
        <v>60</v>
      </c>
      <c r="I39" s="63"/>
    </row>
    <row r="40" spans="1:9" ht="15.75" customHeight="1" x14ac:dyDescent="0.2">
      <c r="A40" s="28"/>
      <c r="B40" s="28"/>
      <c r="C40" s="33"/>
      <c r="D40" s="33"/>
      <c r="E40" s="29"/>
      <c r="F40" s="29"/>
      <c r="G40" s="30"/>
      <c r="H40" s="31"/>
      <c r="I40" s="31"/>
    </row>
    <row r="41" spans="1:9" ht="21.95" customHeight="1" x14ac:dyDescent="0.2">
      <c r="A41" s="67" t="s">
        <v>61</v>
      </c>
      <c r="B41" s="68"/>
      <c r="C41" s="68"/>
      <c r="D41" s="68"/>
      <c r="E41" s="68"/>
      <c r="F41" s="68"/>
      <c r="G41" s="68"/>
      <c r="H41" s="68"/>
      <c r="I41" s="68"/>
    </row>
    <row r="42" spans="1:9" ht="9" customHeight="1" x14ac:dyDescent="0.2">
      <c r="A42" s="26"/>
      <c r="B42" s="6"/>
      <c r="C42" s="6"/>
      <c r="D42" s="34"/>
      <c r="E42" s="29"/>
      <c r="F42" s="29"/>
      <c r="G42" s="30"/>
      <c r="H42" s="31"/>
      <c r="I42" s="31"/>
    </row>
    <row r="43" spans="1:9" ht="24" customHeight="1" x14ac:dyDescent="0.2">
      <c r="A43" s="16" t="s">
        <v>62</v>
      </c>
      <c r="B43" s="14" t="s">
        <v>63</v>
      </c>
      <c r="C43" s="65" t="s">
        <v>64</v>
      </c>
      <c r="D43" s="65"/>
      <c r="E43" s="65"/>
      <c r="F43" s="81" t="s">
        <v>65</v>
      </c>
      <c r="G43" s="65"/>
      <c r="H43" s="65"/>
      <c r="I43" s="65"/>
    </row>
    <row r="44" spans="1:9" ht="15.75" customHeight="1" x14ac:dyDescent="0.2">
      <c r="A44" s="41">
        <v>46093</v>
      </c>
      <c r="B44" s="28" t="s">
        <v>60</v>
      </c>
      <c r="C44" s="63" t="s">
        <v>66</v>
      </c>
      <c r="D44" s="63"/>
      <c r="E44" s="63"/>
      <c r="F44" s="82" t="s">
        <v>67</v>
      </c>
      <c r="G44" s="63"/>
      <c r="H44" s="63"/>
      <c r="I44" s="63"/>
    </row>
    <row r="45" spans="1:9" ht="15.75" customHeight="1" x14ac:dyDescent="0.2">
      <c r="A45" s="41">
        <v>46112</v>
      </c>
      <c r="B45" s="28" t="s">
        <v>59</v>
      </c>
      <c r="C45" s="63" t="s">
        <v>68</v>
      </c>
      <c r="D45" s="63"/>
      <c r="E45" s="63"/>
      <c r="F45" s="82" t="s">
        <v>69</v>
      </c>
      <c r="G45" s="63"/>
      <c r="H45" s="63"/>
      <c r="I45" s="63"/>
    </row>
    <row r="46" spans="1:9" ht="15.75" customHeight="1" x14ac:dyDescent="0.2">
      <c r="A46" s="35"/>
      <c r="B46" s="28"/>
      <c r="C46" s="6"/>
      <c r="D46" s="6"/>
      <c r="E46" s="6"/>
      <c r="F46" s="34"/>
      <c r="G46" s="34"/>
      <c r="H46" s="34"/>
      <c r="I46" s="34"/>
    </row>
    <row r="47" spans="1:9" ht="21.95" customHeight="1" x14ac:dyDescent="0.2">
      <c r="A47" s="67" t="s">
        <v>70</v>
      </c>
      <c r="B47" s="68"/>
      <c r="C47" s="68"/>
      <c r="D47" s="68"/>
      <c r="E47" s="68"/>
      <c r="F47" s="68"/>
      <c r="G47" s="68"/>
      <c r="H47" s="68"/>
      <c r="I47" s="68"/>
    </row>
    <row r="48" spans="1:9" ht="7.5" customHeight="1" x14ac:dyDescent="0.2">
      <c r="A48" s="6"/>
      <c r="B48" s="6"/>
      <c r="C48" s="6"/>
      <c r="D48" s="6"/>
      <c r="E48" s="6"/>
      <c r="F48" s="6"/>
      <c r="G48" s="6"/>
      <c r="H48" s="6"/>
      <c r="I48" s="6"/>
    </row>
    <row r="49" spans="1:9" ht="33.950000000000003" customHeight="1" x14ac:dyDescent="0.2">
      <c r="A49" s="17" t="s">
        <v>71</v>
      </c>
      <c r="B49" s="17" t="s">
        <v>72</v>
      </c>
      <c r="C49" s="76" t="s">
        <v>73</v>
      </c>
      <c r="D49" s="65"/>
      <c r="E49" s="17" t="s">
        <v>20</v>
      </c>
      <c r="F49" s="17" t="s">
        <v>22</v>
      </c>
      <c r="G49" s="76" t="s">
        <v>74</v>
      </c>
      <c r="H49" s="65"/>
      <c r="I49" s="65"/>
    </row>
    <row r="50" spans="1:9" ht="15.75" customHeight="1" x14ac:dyDescent="0.2">
      <c r="A50" s="42">
        <v>46082</v>
      </c>
      <c r="B50" s="19" t="s">
        <v>59</v>
      </c>
      <c r="C50" s="54" t="s">
        <v>59</v>
      </c>
      <c r="D50" s="55"/>
      <c r="E50" s="48">
        <v>1</v>
      </c>
      <c r="F50" s="48">
        <v>11</v>
      </c>
      <c r="G50" s="54"/>
      <c r="H50" s="55"/>
      <c r="I50" s="55"/>
    </row>
    <row r="51" spans="1:9" ht="15.75" customHeight="1" x14ac:dyDescent="0.2">
      <c r="A51" s="43">
        <v>46083</v>
      </c>
      <c r="B51" s="18" t="s">
        <v>75</v>
      </c>
      <c r="C51" s="56" t="s">
        <v>75</v>
      </c>
      <c r="D51" s="57"/>
      <c r="E51" s="49">
        <v>0</v>
      </c>
      <c r="F51" s="49">
        <v>0</v>
      </c>
      <c r="G51" s="56"/>
      <c r="H51" s="57"/>
      <c r="I51" s="57"/>
    </row>
    <row r="52" spans="1:9" ht="15.75" customHeight="1" x14ac:dyDescent="0.2">
      <c r="A52" s="44">
        <v>46084</v>
      </c>
      <c r="B52" s="19" t="s">
        <v>75</v>
      </c>
      <c r="C52" s="54" t="s">
        <v>75</v>
      </c>
      <c r="D52" s="55"/>
      <c r="E52" s="48">
        <v>0</v>
      </c>
      <c r="F52" s="48">
        <v>0</v>
      </c>
      <c r="G52" s="54"/>
      <c r="H52" s="55"/>
      <c r="I52" s="55"/>
    </row>
    <row r="53" spans="1:9" ht="15.75" customHeight="1" x14ac:dyDescent="0.2">
      <c r="A53" s="43">
        <v>46085</v>
      </c>
      <c r="B53" s="18" t="s">
        <v>60</v>
      </c>
      <c r="C53" s="56" t="s">
        <v>51</v>
      </c>
      <c r="D53" s="57"/>
      <c r="E53" s="49">
        <v>0</v>
      </c>
      <c r="F53" s="49">
        <v>0</v>
      </c>
      <c r="G53" s="56" t="s">
        <v>51</v>
      </c>
      <c r="H53" s="57"/>
      <c r="I53" s="57"/>
    </row>
    <row r="54" spans="1:9" ht="15.75" customHeight="1" x14ac:dyDescent="0.2">
      <c r="A54" s="44">
        <v>46086</v>
      </c>
      <c r="B54" s="19" t="s">
        <v>59</v>
      </c>
      <c r="C54" s="54" t="s">
        <v>59</v>
      </c>
      <c r="D54" s="55"/>
      <c r="E54" s="48">
        <v>2</v>
      </c>
      <c r="F54" s="48">
        <v>10</v>
      </c>
      <c r="G54" s="54"/>
      <c r="H54" s="55"/>
      <c r="I54" s="55"/>
    </row>
    <row r="55" spans="1:9" ht="15.75" customHeight="1" x14ac:dyDescent="0.2">
      <c r="A55" s="43">
        <v>46087</v>
      </c>
      <c r="B55" s="18" t="s">
        <v>75</v>
      </c>
      <c r="C55" s="56" t="s">
        <v>75</v>
      </c>
      <c r="D55" s="57"/>
      <c r="E55" s="49">
        <v>0</v>
      </c>
      <c r="F55" s="49">
        <v>0</v>
      </c>
      <c r="G55" s="56"/>
      <c r="H55" s="57"/>
      <c r="I55" s="57"/>
    </row>
    <row r="56" spans="1:9" ht="15.75" customHeight="1" x14ac:dyDescent="0.2">
      <c r="A56" s="42">
        <v>46088</v>
      </c>
      <c r="B56" s="19" t="s">
        <v>75</v>
      </c>
      <c r="C56" s="54" t="s">
        <v>75</v>
      </c>
      <c r="D56" s="55"/>
      <c r="E56" s="48">
        <v>0</v>
      </c>
      <c r="F56" s="48">
        <v>0</v>
      </c>
      <c r="G56" s="54"/>
      <c r="H56" s="55"/>
      <c r="I56" s="55"/>
    </row>
    <row r="57" spans="1:9" ht="15.75" customHeight="1" x14ac:dyDescent="0.2">
      <c r="A57" s="45">
        <v>46089</v>
      </c>
      <c r="B57" s="18" t="s">
        <v>60</v>
      </c>
      <c r="C57" s="56" t="s">
        <v>60</v>
      </c>
      <c r="D57" s="57"/>
      <c r="E57" s="49">
        <v>0</v>
      </c>
      <c r="F57" s="49">
        <v>12</v>
      </c>
      <c r="G57" s="56"/>
      <c r="H57" s="57"/>
      <c r="I57" s="57"/>
    </row>
    <row r="58" spans="1:9" ht="15.75" customHeight="1" x14ac:dyDescent="0.2">
      <c r="A58" s="44">
        <v>46090</v>
      </c>
      <c r="B58" s="19" t="s">
        <v>59</v>
      </c>
      <c r="C58" s="54" t="s">
        <v>76</v>
      </c>
      <c r="D58" s="55"/>
      <c r="E58" s="48">
        <v>0</v>
      </c>
      <c r="F58" s="48">
        <v>0</v>
      </c>
      <c r="G58" s="54" t="s">
        <v>77</v>
      </c>
      <c r="H58" s="55"/>
      <c r="I58" s="55"/>
    </row>
    <row r="59" spans="1:9" ht="15.75" customHeight="1" x14ac:dyDescent="0.2">
      <c r="A59" s="43">
        <v>46091</v>
      </c>
      <c r="B59" s="18" t="s">
        <v>75</v>
      </c>
      <c r="C59" s="56" t="s">
        <v>75</v>
      </c>
      <c r="D59" s="57"/>
      <c r="E59" s="49">
        <v>0</v>
      </c>
      <c r="F59" s="49">
        <v>0</v>
      </c>
      <c r="G59" s="56"/>
      <c r="H59" s="57"/>
      <c r="I59" s="57"/>
    </row>
    <row r="60" spans="1:9" ht="15.75" customHeight="1" x14ac:dyDescent="0.2">
      <c r="A60" s="44">
        <v>46092</v>
      </c>
      <c r="B60" s="19" t="s">
        <v>75</v>
      </c>
      <c r="C60" s="54" t="s">
        <v>78</v>
      </c>
      <c r="D60" s="55"/>
      <c r="E60" s="48">
        <v>12</v>
      </c>
      <c r="F60" s="48">
        <v>0</v>
      </c>
      <c r="G60" s="54" t="s">
        <v>79</v>
      </c>
      <c r="H60" s="55"/>
      <c r="I60" s="55"/>
    </row>
    <row r="61" spans="1:9" ht="12.75" x14ac:dyDescent="0.2">
      <c r="A61" s="43">
        <v>46093</v>
      </c>
      <c r="B61" s="18" t="s">
        <v>60</v>
      </c>
      <c r="C61" s="56" t="s">
        <v>60</v>
      </c>
      <c r="D61" s="57"/>
      <c r="E61" s="49">
        <v>13</v>
      </c>
      <c r="F61" s="49">
        <v>0</v>
      </c>
      <c r="G61" s="57" t="s">
        <v>80</v>
      </c>
      <c r="H61" s="57"/>
      <c r="I61" s="57"/>
    </row>
    <row r="62" spans="1:9" ht="15.75" customHeight="1" x14ac:dyDescent="0.2">
      <c r="A62" s="44">
        <v>46094</v>
      </c>
      <c r="B62" s="19" t="s">
        <v>59</v>
      </c>
      <c r="C62" s="54" t="s">
        <v>59</v>
      </c>
      <c r="D62" s="55"/>
      <c r="E62" s="48">
        <v>1</v>
      </c>
      <c r="F62" s="48">
        <v>11</v>
      </c>
      <c r="G62" s="54"/>
      <c r="H62" s="55"/>
      <c r="I62" s="55"/>
    </row>
    <row r="63" spans="1:9" ht="15.75" customHeight="1" x14ac:dyDescent="0.2">
      <c r="A63" s="45">
        <v>46095</v>
      </c>
      <c r="B63" s="18" t="s">
        <v>75</v>
      </c>
      <c r="C63" s="56" t="s">
        <v>75</v>
      </c>
      <c r="D63" s="57"/>
      <c r="E63" s="49">
        <v>0</v>
      </c>
      <c r="F63" s="49">
        <v>0</v>
      </c>
      <c r="G63" s="56"/>
      <c r="H63" s="57"/>
      <c r="I63" s="57"/>
    </row>
    <row r="64" spans="1:9" ht="15.75" customHeight="1" x14ac:dyDescent="0.2">
      <c r="A64" s="42">
        <v>46096</v>
      </c>
      <c r="B64" s="19" t="s">
        <v>75</v>
      </c>
      <c r="C64" s="54" t="s">
        <v>75</v>
      </c>
      <c r="D64" s="55"/>
      <c r="E64" s="48">
        <v>0</v>
      </c>
      <c r="F64" s="48">
        <v>0</v>
      </c>
      <c r="G64" s="54"/>
      <c r="H64" s="55"/>
      <c r="I64" s="55"/>
    </row>
    <row r="65" spans="1:9" ht="15.75" customHeight="1" x14ac:dyDescent="0.2">
      <c r="A65" s="43">
        <v>46097</v>
      </c>
      <c r="B65" s="18" t="s">
        <v>60</v>
      </c>
      <c r="C65" s="56" t="s">
        <v>35</v>
      </c>
      <c r="D65" s="57"/>
      <c r="E65" s="49">
        <v>0</v>
      </c>
      <c r="F65" s="49">
        <v>0</v>
      </c>
      <c r="G65" s="56" t="s">
        <v>35</v>
      </c>
      <c r="H65" s="57"/>
      <c r="I65" s="57"/>
    </row>
    <row r="66" spans="1:9" ht="15.75" customHeight="1" x14ac:dyDescent="0.2">
      <c r="A66" s="44">
        <v>46098</v>
      </c>
      <c r="B66" s="19" t="s">
        <v>59</v>
      </c>
      <c r="C66" s="54" t="s">
        <v>59</v>
      </c>
      <c r="D66" s="55"/>
      <c r="E66" s="48">
        <v>2</v>
      </c>
      <c r="F66" s="48">
        <v>10</v>
      </c>
      <c r="G66" s="54"/>
      <c r="H66" s="55"/>
      <c r="I66" s="55"/>
    </row>
    <row r="67" spans="1:9" ht="15.75" customHeight="1" x14ac:dyDescent="0.2">
      <c r="A67" s="43">
        <v>46099</v>
      </c>
      <c r="B67" s="18" t="s">
        <v>75</v>
      </c>
      <c r="C67" s="56" t="s">
        <v>75</v>
      </c>
      <c r="D67" s="57"/>
      <c r="E67" s="49">
        <v>0</v>
      </c>
      <c r="F67" s="49">
        <v>0</v>
      </c>
      <c r="G67" s="56"/>
      <c r="H67" s="57"/>
      <c r="I67" s="57"/>
    </row>
    <row r="68" spans="1:9" ht="15.75" customHeight="1" x14ac:dyDescent="0.2">
      <c r="A68" s="44">
        <v>46100</v>
      </c>
      <c r="B68" s="19" t="s">
        <v>75</v>
      </c>
      <c r="C68" s="54" t="s">
        <v>75</v>
      </c>
      <c r="D68" s="55"/>
      <c r="E68" s="48">
        <v>0</v>
      </c>
      <c r="F68" s="48">
        <v>0</v>
      </c>
      <c r="G68" s="54"/>
      <c r="H68" s="55"/>
      <c r="I68" s="55"/>
    </row>
    <row r="69" spans="1:9" ht="15.75" customHeight="1" x14ac:dyDescent="0.2">
      <c r="A69" s="43">
        <v>46101</v>
      </c>
      <c r="B69" s="18" t="s">
        <v>60</v>
      </c>
      <c r="C69" s="56" t="s">
        <v>51</v>
      </c>
      <c r="D69" s="57"/>
      <c r="E69" s="49">
        <v>0</v>
      </c>
      <c r="F69" s="49">
        <v>0</v>
      </c>
      <c r="G69" s="56" t="s">
        <v>51</v>
      </c>
      <c r="H69" s="57"/>
      <c r="I69" s="57"/>
    </row>
    <row r="70" spans="1:9" ht="12.75" x14ac:dyDescent="0.2">
      <c r="A70" s="42">
        <v>46102</v>
      </c>
      <c r="B70" s="19" t="s">
        <v>59</v>
      </c>
      <c r="C70" s="59">
        <v>24</v>
      </c>
      <c r="D70" s="55"/>
      <c r="E70" s="48">
        <v>0</v>
      </c>
      <c r="F70" s="48">
        <v>24</v>
      </c>
      <c r="G70" s="54" t="s">
        <v>81</v>
      </c>
      <c r="H70" s="55"/>
      <c r="I70" s="55"/>
    </row>
    <row r="71" spans="1:9" ht="15.75" customHeight="1" x14ac:dyDescent="0.2">
      <c r="A71" s="45">
        <v>46103</v>
      </c>
      <c r="B71" s="18" t="s">
        <v>75</v>
      </c>
      <c r="C71" s="56" t="s">
        <v>75</v>
      </c>
      <c r="D71" s="57"/>
      <c r="E71" s="49">
        <v>0</v>
      </c>
      <c r="F71" s="49">
        <v>0</v>
      </c>
      <c r="G71" s="56"/>
      <c r="H71" s="57"/>
      <c r="I71" s="57"/>
    </row>
    <row r="72" spans="1:9" ht="15.75" customHeight="1" x14ac:dyDescent="0.2">
      <c r="A72" s="44">
        <v>46104</v>
      </c>
      <c r="B72" s="19" t="s">
        <v>75</v>
      </c>
      <c r="C72" s="54" t="s">
        <v>75</v>
      </c>
      <c r="D72" s="55"/>
      <c r="E72" s="48">
        <v>0</v>
      </c>
      <c r="F72" s="48">
        <v>0</v>
      </c>
      <c r="G72" s="54"/>
      <c r="H72" s="55"/>
      <c r="I72" s="55"/>
    </row>
    <row r="73" spans="1:9" ht="12.75" x14ac:dyDescent="0.2">
      <c r="A73" s="43">
        <v>46105</v>
      </c>
      <c r="B73" s="18" t="s">
        <v>60</v>
      </c>
      <c r="C73" s="61">
        <v>24</v>
      </c>
      <c r="D73" s="57"/>
      <c r="E73" s="49">
        <v>14</v>
      </c>
      <c r="F73" s="49">
        <v>10</v>
      </c>
      <c r="G73" s="56" t="s">
        <v>82</v>
      </c>
      <c r="H73" s="57"/>
      <c r="I73" s="57"/>
    </row>
    <row r="74" spans="1:9" ht="15.75" customHeight="1" x14ac:dyDescent="0.2">
      <c r="A74" s="44">
        <v>46106</v>
      </c>
      <c r="B74" s="19" t="s">
        <v>59</v>
      </c>
      <c r="C74" s="54" t="s">
        <v>76</v>
      </c>
      <c r="D74" s="55"/>
      <c r="E74" s="48">
        <v>0</v>
      </c>
      <c r="F74" s="48">
        <v>0</v>
      </c>
      <c r="G74" s="54" t="s">
        <v>77</v>
      </c>
      <c r="H74" s="55"/>
      <c r="I74" s="55"/>
    </row>
    <row r="75" spans="1:9" ht="15.75" customHeight="1" x14ac:dyDescent="0.2">
      <c r="A75" s="43">
        <v>46107</v>
      </c>
      <c r="B75" s="18" t="s">
        <v>75</v>
      </c>
      <c r="C75" s="56" t="s">
        <v>83</v>
      </c>
      <c r="D75" s="57"/>
      <c r="E75" s="49">
        <v>0</v>
      </c>
      <c r="F75" s="49">
        <v>0</v>
      </c>
      <c r="G75" s="56" t="s">
        <v>84</v>
      </c>
      <c r="H75" s="57"/>
      <c r="I75" s="18"/>
    </row>
    <row r="76" spans="1:9" ht="15.75" customHeight="1" x14ac:dyDescent="0.2">
      <c r="A76" s="44">
        <v>46108</v>
      </c>
      <c r="B76" s="19" t="s">
        <v>75</v>
      </c>
      <c r="C76" s="54" t="s">
        <v>83</v>
      </c>
      <c r="D76" s="55"/>
      <c r="E76" s="48">
        <v>0</v>
      </c>
      <c r="F76" s="48">
        <v>0</v>
      </c>
      <c r="G76" s="54" t="s">
        <v>84</v>
      </c>
      <c r="H76" s="55"/>
      <c r="I76" s="19"/>
    </row>
    <row r="77" spans="1:9" ht="15.75" customHeight="1" x14ac:dyDescent="0.2">
      <c r="A77" s="45">
        <v>46109</v>
      </c>
      <c r="B77" s="18" t="s">
        <v>60</v>
      </c>
      <c r="C77" s="56" t="s">
        <v>83</v>
      </c>
      <c r="D77" s="57"/>
      <c r="E77" s="49">
        <v>0</v>
      </c>
      <c r="F77" s="49">
        <v>0</v>
      </c>
      <c r="G77" s="56" t="s">
        <v>84</v>
      </c>
      <c r="H77" s="57"/>
      <c r="I77" s="18"/>
    </row>
    <row r="78" spans="1:9" ht="15.75" customHeight="1" x14ac:dyDescent="0.2">
      <c r="A78" s="42">
        <v>46110</v>
      </c>
      <c r="B78" s="19" t="s">
        <v>59</v>
      </c>
      <c r="C78" s="54" t="s">
        <v>83</v>
      </c>
      <c r="D78" s="55"/>
      <c r="E78" s="48">
        <v>0</v>
      </c>
      <c r="F78" s="48">
        <v>0</v>
      </c>
      <c r="G78" s="54" t="s">
        <v>84</v>
      </c>
      <c r="H78" s="55"/>
      <c r="I78" s="19"/>
    </row>
    <row r="79" spans="1:9" ht="15.75" customHeight="1" x14ac:dyDescent="0.2">
      <c r="A79" s="43">
        <v>46111</v>
      </c>
      <c r="B79" s="18" t="s">
        <v>75</v>
      </c>
      <c r="C79" s="56" t="s">
        <v>83</v>
      </c>
      <c r="D79" s="57"/>
      <c r="E79" s="49">
        <v>0</v>
      </c>
      <c r="F79" s="49">
        <v>0</v>
      </c>
      <c r="G79" s="56" t="s">
        <v>84</v>
      </c>
      <c r="H79" s="57"/>
      <c r="I79" s="18"/>
    </row>
    <row r="80" spans="1:9" ht="12.75" x14ac:dyDescent="0.2">
      <c r="A80" s="44">
        <v>46112</v>
      </c>
      <c r="B80" s="19" t="s">
        <v>75</v>
      </c>
      <c r="C80" s="59" t="s">
        <v>85</v>
      </c>
      <c r="D80" s="55"/>
      <c r="E80" s="48">
        <v>14</v>
      </c>
      <c r="F80" s="48">
        <v>10</v>
      </c>
      <c r="G80" s="54" t="s">
        <v>86</v>
      </c>
      <c r="H80" s="55"/>
      <c r="I80" s="55"/>
    </row>
    <row r="81" spans="1:9" ht="12.75" x14ac:dyDescent="0.2">
      <c r="A81" s="46" t="s">
        <v>87</v>
      </c>
      <c r="B81" s="36"/>
      <c r="C81" s="37"/>
      <c r="D81" s="37"/>
      <c r="E81" s="50">
        <f t="shared" ref="E81:F81" si="1">SUM(E50:E80)</f>
        <v>59</v>
      </c>
      <c r="F81" s="50">
        <f t="shared" si="1"/>
        <v>98</v>
      </c>
      <c r="G81" s="36"/>
      <c r="H81" s="36"/>
      <c r="I81" s="36"/>
    </row>
    <row r="82" spans="1:9" ht="15.75" customHeight="1" x14ac:dyDescent="0.2">
      <c r="A82" s="46">
        <v>46112</v>
      </c>
      <c r="B82" s="36" t="s">
        <v>75</v>
      </c>
      <c r="C82" s="60" t="s">
        <v>85</v>
      </c>
      <c r="D82" s="58"/>
      <c r="E82" s="50">
        <v>1</v>
      </c>
      <c r="F82" s="50">
        <v>7</v>
      </c>
      <c r="G82" s="58" t="s">
        <v>88</v>
      </c>
      <c r="H82" s="58"/>
      <c r="I82" s="58"/>
    </row>
    <row r="83" spans="1:9" ht="15.75" customHeight="1" x14ac:dyDescent="0.2">
      <c r="A83" s="47" t="s">
        <v>89</v>
      </c>
      <c r="B83" s="36"/>
      <c r="C83" s="36"/>
      <c r="D83" s="38"/>
      <c r="E83" s="51">
        <f t="shared" ref="E83:F83" si="2">E81-E82</f>
        <v>58</v>
      </c>
      <c r="F83" s="51">
        <f t="shared" si="2"/>
        <v>91</v>
      </c>
      <c r="G83" s="36"/>
      <c r="H83" s="36"/>
      <c r="I83" s="36"/>
    </row>
  </sheetData>
  <mergeCells count="115">
    <mergeCell ref="A41:I41"/>
    <mergeCell ref="C43:E43"/>
    <mergeCell ref="F43:I43"/>
    <mergeCell ref="C44:E44"/>
    <mergeCell ref="F44:I44"/>
    <mergeCell ref="A47:I47"/>
    <mergeCell ref="C45:E45"/>
    <mergeCell ref="F45:I45"/>
    <mergeCell ref="G51:I51"/>
    <mergeCell ref="G52:I52"/>
    <mergeCell ref="C49:D49"/>
    <mergeCell ref="G49:I49"/>
    <mergeCell ref="C50:D50"/>
    <mergeCell ref="G50:I50"/>
    <mergeCell ref="C51:D51"/>
    <mergeCell ref="C52:D52"/>
    <mergeCell ref="A1:I1"/>
    <mergeCell ref="B2:C2"/>
    <mergeCell ref="D2:E2"/>
    <mergeCell ref="F2:G2"/>
    <mergeCell ref="B3:C3"/>
    <mergeCell ref="D3:E3"/>
    <mergeCell ref="D4:E4"/>
    <mergeCell ref="B4:C4"/>
    <mergeCell ref="B5:C5"/>
    <mergeCell ref="D5:E5"/>
    <mergeCell ref="B6:C6"/>
    <mergeCell ref="D6:E6"/>
    <mergeCell ref="A8:I8"/>
    <mergeCell ref="A14:I14"/>
    <mergeCell ref="F16:G16"/>
    <mergeCell ref="F17:G17"/>
    <mergeCell ref="F18:G18"/>
    <mergeCell ref="F19:G19"/>
    <mergeCell ref="F20:G20"/>
    <mergeCell ref="A22:I22"/>
    <mergeCell ref="H26:I26"/>
    <mergeCell ref="A28:I28"/>
    <mergeCell ref="C31:D31"/>
    <mergeCell ref="G31:I31"/>
    <mergeCell ref="C32:D32"/>
    <mergeCell ref="E32:F32"/>
    <mergeCell ref="C33:D33"/>
    <mergeCell ref="E33:F33"/>
    <mergeCell ref="H37:I37"/>
    <mergeCell ref="H38:I38"/>
    <mergeCell ref="H39:I39"/>
    <mergeCell ref="A36:I36"/>
    <mergeCell ref="A37:B37"/>
    <mergeCell ref="C37:D37"/>
    <mergeCell ref="E37:F37"/>
    <mergeCell ref="A38:B38"/>
    <mergeCell ref="C38:D38"/>
    <mergeCell ref="E38:F38"/>
    <mergeCell ref="A39:B39"/>
    <mergeCell ref="C39:D39"/>
    <mergeCell ref="E39:F39"/>
    <mergeCell ref="C56:D56"/>
    <mergeCell ref="C57:D57"/>
    <mergeCell ref="C58:D58"/>
    <mergeCell ref="G80:I80"/>
    <mergeCell ref="G79:H79"/>
    <mergeCell ref="C53:D53"/>
    <mergeCell ref="G53:I53"/>
    <mergeCell ref="C54:D54"/>
    <mergeCell ref="G54:I54"/>
    <mergeCell ref="C55:D55"/>
    <mergeCell ref="G55:I55"/>
    <mergeCell ref="G56:I56"/>
    <mergeCell ref="G57:I57"/>
    <mergeCell ref="G58:I58"/>
    <mergeCell ref="C59:D59"/>
    <mergeCell ref="G59:I59"/>
    <mergeCell ref="C60:D60"/>
    <mergeCell ref="G60:I60"/>
    <mergeCell ref="G61:I61"/>
    <mergeCell ref="C61:D61"/>
    <mergeCell ref="C62:D62"/>
    <mergeCell ref="C63:D63"/>
    <mergeCell ref="C64:D64"/>
    <mergeCell ref="C65:D65"/>
    <mergeCell ref="C66:D66"/>
    <mergeCell ref="C67:D67"/>
    <mergeCell ref="G62:I62"/>
    <mergeCell ref="G63:I63"/>
    <mergeCell ref="G64:I64"/>
    <mergeCell ref="G65:I65"/>
    <mergeCell ref="G66:I66"/>
    <mergeCell ref="G67:I67"/>
    <mergeCell ref="G68:I68"/>
    <mergeCell ref="C75:D75"/>
    <mergeCell ref="C76:D76"/>
    <mergeCell ref="C77:D77"/>
    <mergeCell ref="C78:D78"/>
    <mergeCell ref="C79:D79"/>
    <mergeCell ref="C80:D80"/>
    <mergeCell ref="C82:D82"/>
    <mergeCell ref="C68:D68"/>
    <mergeCell ref="C69:D69"/>
    <mergeCell ref="C70:D70"/>
    <mergeCell ref="C71:D71"/>
    <mergeCell ref="C72:D72"/>
    <mergeCell ref="C73:D73"/>
    <mergeCell ref="C74:D74"/>
    <mergeCell ref="G76:H76"/>
    <mergeCell ref="G77:H77"/>
    <mergeCell ref="G78:H78"/>
    <mergeCell ref="G82:I82"/>
    <mergeCell ref="G69:I69"/>
    <mergeCell ref="G70:I70"/>
    <mergeCell ref="G71:I71"/>
    <mergeCell ref="G72:I72"/>
    <mergeCell ref="G73:I73"/>
    <mergeCell ref="G74:I74"/>
    <mergeCell ref="G75:H75"/>
  </mergeCells>
  <conditionalFormatting sqref="A37:A40 B42:B46 B82:B83">
    <cfRule type="expression" dxfId="5" priority="1">
      <formula>A37="No"</formula>
    </cfRule>
    <cfRule type="expression" dxfId="4" priority="2">
      <formula>OR(A37="Si",A37="Sí")</formula>
    </cfRule>
  </conditionalFormatting>
  <conditionalFormatting sqref="B50:B82 C37:C40 C42:C46 G61 D63:D64 D69:D78 H75:H78 G75:G79 C50:C83">
    <cfRule type="expression" dxfId="3" priority="3">
      <formula>ISNUMBER(SEARCH("Larga",C37))</formula>
    </cfRule>
  </conditionalFormatting>
  <conditionalFormatting sqref="C37:C40 C42:C46 B50:B82 G61 D63:D64 D69:D78 H75:H78 G75:G79 C50:C83">
    <cfRule type="expression" dxfId="2" priority="4">
      <formula>ISNUMBER(SEARCH("Noche",C37))</formula>
    </cfRule>
    <cfRule type="expression" dxfId="1" priority="5">
      <formula>ISNUMBER(SEARCH("Diurno",C37))</formula>
    </cfRule>
    <cfRule type="expression" dxfId="0" priority="6">
      <formula>ISNUMBER(SEARCH("Libre",C37))</formula>
    </cfRule>
  </conditionalFormatting>
  <printOptions horizontalCentered="1"/>
  <pageMargins left="0.25" right="0.25" top="0.35" bottom="0.35" header="0.15" footer="0.15"/>
  <pageSetup scale="51" orientation="portrait" r:id="rId1"/>
  <headerFooter>
    <oddFooter>&amp;C&amp;P de 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4to turno sin asignacion</vt:lpstr>
      <vt:lpstr>'4to turno sin asignacion'!Área_de_impresión</vt:lpstr>
      <vt:lpstr>'4to turno sin asignacion'!Títulos_a_imprimir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Alan Plaza</cp:lastModifiedBy>
  <dcterms:created xsi:type="dcterms:W3CDTF">2026-05-10T06:19:33Z</dcterms:created>
  <dcterms:modified xsi:type="dcterms:W3CDTF">2026-05-10T06:20:17Z</dcterms:modified>
</cp:coreProperties>
</file>